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hidePivotFieldList="1" defaultThemeVersion="124226"/>
  <bookViews>
    <workbookView xWindow="240" yWindow="510" windowWidth="18855" windowHeight="7875"/>
  </bookViews>
  <sheets>
    <sheet name="Open vs Closed" sheetId="12" r:id="rId1"/>
    <sheet name="Data" sheetId="1" state="hidden" r:id="rId2"/>
    <sheet name="Definitions" sheetId="7" state="hidden" r:id="rId3"/>
  </sheets>
  <definedNames>
    <definedName name="data">OFFSET(Data!$A$1,0,0,COUNTA(Data!$A:$A),20)</definedName>
    <definedName name="DATE">Definitions!$B$3:$B$3</definedName>
    <definedName name="NAME">Definitions!$B$4:$B$4</definedName>
    <definedName name="URL">Definitions!$B$2:$B$2</definedName>
  </definedNames>
  <calcPr calcId="145621" concurrentCalc="0"/>
  <pivotCaches>
    <pivotCache cacheId="1" r:id="rId4"/>
  </pivotCaches>
</workbook>
</file>

<file path=xl/calcChain.xml><?xml version="1.0" encoding="utf-8"?>
<calcChain xmlns="http://schemas.openxmlformats.org/spreadsheetml/2006/main">
  <c r="S2" i="1" l="1"/>
  <c r="R2" i="1"/>
  <c r="T2" i="1"/>
</calcChain>
</file>

<file path=xl/sharedStrings.xml><?xml version="1.0" encoding="utf-8"?>
<sst xmlns="http://schemas.openxmlformats.org/spreadsheetml/2006/main" count="56" uniqueCount="37">
  <si>
    <t>Priority</t>
  </si>
  <si>
    <t>(All)</t>
  </si>
  <si>
    <t>Status</t>
  </si>
  <si>
    <t>Severity</t>
  </si>
  <si>
    <t>Components</t>
  </si>
  <si>
    <t>Type</t>
  </si>
  <si>
    <t>Grand Total</t>
  </si>
  <si>
    <t>Title</t>
  </si>
  <si>
    <t>Revised</t>
  </si>
  <si>
    <t>Created</t>
  </si>
  <si>
    <t>ClosedDate</t>
  </si>
  <si>
    <t>ResolvedDate</t>
  </si>
  <si>
    <t>DueDate</t>
  </si>
  <si>
    <t>StartDate</t>
  </si>
  <si>
    <t>PercentComplete</t>
  </si>
  <si>
    <t>EstimatedEffort</t>
  </si>
  <si>
    <t>Description</t>
  </si>
  <si>
    <t>Count()</t>
  </si>
  <si>
    <t>Fields:</t>
  </si>
  <si>
    <t>ComponentNames</t>
  </si>
  <si>
    <t>Url:</t>
  </si>
  <si>
    <t>http://localhost/Gemini/project/HELP/18/items</t>
  </si>
  <si>
    <t>Date:</t>
  </si>
  <si>
    <t>Name:</t>
  </si>
  <si>
    <t>Manager Person</t>
  </si>
  <si>
    <t>Created Week</t>
  </si>
  <si>
    <t>Closed Week</t>
  </si>
  <si>
    <t>Closed Count</t>
  </si>
  <si>
    <t>Row Labels</t>
  </si>
  <si>
    <t>Sum of Created</t>
  </si>
  <si>
    <t>Sum of Closed</t>
  </si>
  <si>
    <t>ResourceNames</t>
  </si>
  <si>
    <t>Resource</t>
  </si>
  <si>
    <t>Week</t>
  </si>
  <si>
    <t>Closed</t>
  </si>
  <si>
    <t/>
  </si>
  <si>
    <t>Dylan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</si>
</sst>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\-d\ hh:mm"/>
  </numFmts>
  <fonts count="4">
    <font>
      <sz val="11"/>
      <name val="Calibri"/>
    </font>
    <font>
      <b/>
      <sz val="11"/>
      <name val="Calibri"/>
      <family val="2"/>
    </font>
    <font>
      <sz val="11"/>
      <color rgb="FF000000"/>
      <name val="Arial"/>
      <family val="2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Protection="1"/>
    <xf numFmtId="0" fontId="0" fillId="0" borderId="0" xfId="0" applyProtection="1"/>
    <xf numFmtId="0" fontId="0" fillId="0" borderId="0" xfId="0" applyAlignment="1" applyProtection="1">
      <alignment horizontal="left"/>
    </xf>
    <xf numFmtId="9" fontId="0" fillId="0" borderId="0" xfId="0" applyNumberFormat="1" applyProtection="1"/>
    <xf numFmtId="0" fontId="1" fillId="0" borderId="0" xfId="0" applyFont="1" applyProtection="1"/>
    <xf numFmtId="164" fontId="0" fillId="0" borderId="0" xfId="0" applyNumberFormat="1" applyAlignment="1" applyProtection="1">
      <alignment horizontal="left"/>
    </xf>
    <xf numFmtId="0" fontId="2" fillId="0" borderId="0" xfId="0" applyFont="1" applyProtection="1"/>
    <xf numFmtId="164" fontId="0" fillId="0" borderId="0" xfId="0" applyNumberFormat="1" applyProtection="1"/>
    <xf numFmtId="14" fontId="0" fillId="0" borderId="0" xfId="0" applyNumberFormat="1" applyProtection="1"/>
    <xf numFmtId="0" fontId="0" fillId="0" borderId="0" xfId="0" pivotButton="1" applyProtection="1"/>
    <xf numFmtId="14" fontId="0" fillId="0" borderId="0" xfId="0" applyNumberFormat="1" applyAlignment="1" applyProtection="1">
      <alignment horizontal="left"/>
    </xf>
    <xf numFmtId="0" fontId="0" fillId="0" borderId="0" xfId="0" applyNumberFormat="1" applyProtection="1"/>
    <xf numFmtId="0" fontId="3" fillId="0" borderId="0" xfId="0" applyFont="1" applyProtecti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[OpenVsClosed.xlsm]Open vs Closed!PivotTable1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'Open vs Closed'!$B$3</c:f>
              <c:strCache>
                <c:ptCount val="1"/>
                <c:pt idx="0">
                  <c:v>Sum of Created</c:v>
                </c:pt>
              </c:strCache>
            </c:strRef>
          </c:tx>
          <c:invertIfNegative val="0"/>
          <c:cat>
            <c:strRef>
              <c:f>'Open vs Closed'!$A$4:$A$6</c:f>
              <c:strCache>
                <c:ptCount val="2"/>
                <c:pt idx="0">
                  <c:v>27/04/2015</c:v>
                </c:pt>
                <c:pt idx="1">
                  <c:v>20/04/2015</c:v>
                </c:pt>
              </c:strCache>
            </c:strRef>
          </c:cat>
          <c:val>
            <c:numRef>
              <c:f>'Open vs Closed'!$B$4:$B$6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</c:ser>
        <c:ser>
          <c:idx val="1"/>
          <c:order val="1"/>
          <c:tx>
            <c:strRef>
              <c:f>'Open vs Closed'!$C$3</c:f>
              <c:strCache>
                <c:ptCount val="1"/>
                <c:pt idx="0">
                  <c:v>Sum of Closed</c:v>
                </c:pt>
              </c:strCache>
            </c:strRef>
          </c:tx>
          <c:invertIfNegative val="0"/>
          <c:cat>
            <c:strRef>
              <c:f>'Open vs Closed'!$A$4:$A$6</c:f>
              <c:strCache>
                <c:ptCount val="2"/>
                <c:pt idx="0">
                  <c:v>27/04/2015</c:v>
                </c:pt>
                <c:pt idx="1">
                  <c:v>20/04/2015</c:v>
                </c:pt>
              </c:strCache>
            </c:strRef>
          </c:cat>
          <c:val>
            <c:numRef>
              <c:f>'Open vs Closed'!$C$4:$C$6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569152"/>
        <c:axId val="138281536"/>
      </c:barChart>
      <c:catAx>
        <c:axId val="1395691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38281536"/>
        <c:crosses val="autoZero"/>
        <c:auto val="1"/>
        <c:lblAlgn val="ctr"/>
        <c:lblOffset val="100"/>
        <c:noMultiLvlLbl val="0"/>
      </c:catAx>
      <c:valAx>
        <c:axId val="13828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569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5</xdr:row>
      <xdr:rowOff>47625</xdr:rowOff>
    </xdr:from>
    <xdr:to>
      <xdr:col>19</xdr:col>
      <xdr:colOff>152400</xdr:colOff>
      <xdr:row>27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125.551135879628" createdVersion="4" refreshedVersion="4" minRefreshableVersion="3" recordCount="3">
  <cacheSource type="worksheet">
    <worksheetSource ref="AD2:AG5" sheet="Data"/>
  </cacheSource>
  <cacheFields count="4">
    <cacheField name="Week" numFmtId="14">
      <sharedItems containsSemiMixedTypes="0" containsNonDate="0" containsDate="1" containsString="0" minDate="2015-04-20T00:00:00" maxDate="2015-04-28T00:00:00" count="2">
        <d v="2015-04-20T00:00:00"/>
        <d v="2015-04-27T00:00:00"/>
      </sharedItems>
    </cacheField>
    <cacheField name="Created" numFmtId="0">
      <sharedItems containsSemiMixedTypes="0" containsString="0" containsNumber="1" containsInteger="1" minValue="1" maxValue="1"/>
    </cacheField>
    <cacheField name="Closed" numFmtId="0">
      <sharedItems containsSemiMixedTypes="0" containsString="0" containsNumber="1" containsInteger="1" minValue="0" maxValue="0"/>
    </cacheField>
    <cacheField name="Resource" numFmtId="0">
      <sharedItems count="2">
        <s v=""/>
        <s v="Dylan Smit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1"/>
    <n v="0"/>
    <x v="0"/>
  </r>
  <r>
    <x v="1"/>
    <n v="1"/>
    <n v="0"/>
    <x v="1"/>
  </r>
  <r>
    <x v="1"/>
    <n v="1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C6" firstHeaderRow="0" firstDataRow="1" firstDataCol="1" rowPageCount="1" colPageCount="1"/>
  <pivotFields count="4">
    <pivotField axis="axisRow" numFmtId="14" showAll="0">
      <items count="3">
        <item x="1"/>
        <item x="0"/>
        <item t="default"/>
      </items>
    </pivotField>
    <pivotField dataField="1" showAll="0"/>
    <pivotField dataField="1" showAll="0"/>
    <pivotField axis="axisPage" showAll="0" defaultSubtotal="0">
      <items count="2">
        <item x="0"/>
        <item x="1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um of Created" fld="1" baseField="0" baseItem="0"/>
    <dataField name="Sum of Closed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"/>
  <sheetViews>
    <sheetView tabSelected="1" workbookViewId="0">
      <selection activeCell="A3" sqref="A3"/>
    </sheetView>
  </sheetViews>
  <sheetFormatPr defaultRowHeight="15"/>
  <cols>
    <col min="1" max="1" width="13.140625" bestFit="1" customWidth="1"/>
    <col min="2" max="2" width="14.7109375" bestFit="1" customWidth="1"/>
    <col min="3" max="3" width="13.7109375" bestFit="1" customWidth="1"/>
  </cols>
  <sheetData>
    <row r="1" spans="1:3">
      <c r="A1" s="9" t="s">
        <v>32</v>
      </c>
      <c r="B1" s="1" t="s">
        <v>1</v>
      </c>
    </row>
    <row r="3" spans="1:3">
      <c r="A3" s="9" t="s">
        <v>28</v>
      </c>
      <c r="B3" s="1" t="s">
        <v>29</v>
      </c>
      <c r="C3" s="1" t="s">
        <v>30</v>
      </c>
    </row>
    <row r="4" spans="1:3">
      <c r="A4" s="10">
        <v>42121</v>
      </c>
      <c r="B4" s="11">
        <v>2</v>
      </c>
      <c r="C4" s="11">
        <v>0</v>
      </c>
    </row>
    <row r="5" spans="1:3">
      <c r="A5" s="10">
        <v>42114</v>
      </c>
      <c r="B5" s="11">
        <v>1</v>
      </c>
      <c r="C5" s="11">
        <v>0</v>
      </c>
    </row>
    <row r="6" spans="1:3">
      <c r="A6" s="10" t="s">
        <v>6</v>
      </c>
      <c r="B6" s="11">
        <v>3</v>
      </c>
      <c r="C6" s="11">
        <v>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U5"/>
  <sheetViews>
    <sheetView topLeftCell="O1" zoomScaleSheetLayoutView="100" workbookViewId="0">
      <pane ySplit="1" topLeftCell="A2" activePane="bottomLeft" state="frozen"/>
      <selection pane="bottomLeft" activeCell="AD2" sqref="AD2:AG5"/>
    </sheetView>
  </sheetViews>
  <sheetFormatPr defaultRowHeight="15"/>
  <cols>
    <col min="1" max="1" width="15" style="1" customWidth="1"/>
    <col min="2" max="2" width="23" style="1" customWidth="1"/>
    <col min="3" max="3" width="11" style="1" customWidth="1"/>
    <col min="4" max="5" width="8" style="1" customWidth="1"/>
    <col min="6" max="6" width="44" style="1" customWidth="1"/>
    <col min="7" max="10" width="10" style="1" customWidth="1"/>
    <col min="11" max="11" width="12" style="1" customWidth="1"/>
    <col min="12" max="13" width="10" style="1" customWidth="1"/>
    <col min="14" max="14" width="15" style="3" customWidth="1"/>
    <col min="15" max="15" width="15" style="1" customWidth="1"/>
    <col min="16" max="16" width="50" style="1" customWidth="1"/>
    <col min="17" max="17" width="7" style="1" customWidth="1"/>
    <col min="18" max="18" width="13.7109375" style="1" bestFit="1" customWidth="1"/>
    <col min="19" max="19" width="13.5703125" style="1" bestFit="1" customWidth="1"/>
    <col min="20" max="255" width="9.140625" style="1" customWidth="1"/>
  </cols>
  <sheetData>
    <row r="1" spans="1:33">
      <c r="A1" s="1" t="s">
        <v>5</v>
      </c>
      <c r="B1" s="1" t="s">
        <v>4</v>
      </c>
      <c r="C1" s="1" t="s">
        <v>2</v>
      </c>
      <c r="D1" s="1" t="s">
        <v>0</v>
      </c>
      <c r="E1" s="1" t="s">
        <v>3</v>
      </c>
      <c r="F1" s="1" t="s">
        <v>7</v>
      </c>
      <c r="G1" s="12" t="s">
        <v>32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3" t="s">
        <v>14</v>
      </c>
      <c r="O1" s="1" t="s">
        <v>15</v>
      </c>
      <c r="P1" s="1" t="s">
        <v>16</v>
      </c>
      <c r="Q1" s="1" t="s">
        <v>17</v>
      </c>
      <c r="R1" s="1" t="s">
        <v>25</v>
      </c>
      <c r="S1" s="1" t="s">
        <v>26</v>
      </c>
      <c r="T1" s="1" t="s">
        <v>27</v>
      </c>
    </row>
    <row r="2" spans="1:33">
      <c r="R2" s="7">
        <f>I2-WEEKDAY(I2,3)</f>
        <v>-5</v>
      </c>
      <c r="S2" s="7">
        <f>IF(J2=0,0,J2-WEEKDAY(J2,3))</f>
        <v>0</v>
      </c>
      <c r="T2" s="1">
        <f>IF(S2=0,0,1)</f>
        <v>0</v>
      </c>
      <c r="AD2" s="1" t="s">
        <v>33</v>
      </c>
      <c r="AE2" s="1" t="s">
        <v>9</v>
      </c>
      <c r="AF2" s="1" t="s">
        <v>34</v>
      </c>
      <c r="AG2" s="1" t="s">
        <v>32</v>
      </c>
    </row>
    <row r="3" spans="1:33">
      <c r="AD3" s="8">
        <v>42114</v>
      </c>
      <c r="AE3" s="1">
        <v>1</v>
      </c>
      <c r="AF3" s="1">
        <v>0</v>
      </c>
      <c r="AG3" s="1" t="s">
        <v>35</v>
      </c>
    </row>
    <row r="4" spans="1:33">
      <c r="AD4" s="8">
        <v>42121</v>
      </c>
      <c r="AE4" s="1">
        <v>1</v>
      </c>
      <c r="AF4" s="1">
        <v>0</v>
      </c>
      <c r="AG4" s="1" t="s">
        <v>36</v>
      </c>
    </row>
    <row r="5" spans="1:33">
      <c r="AD5" s="8">
        <v>42121</v>
      </c>
      <c r="AE5" s="1">
        <v>1</v>
      </c>
      <c r="AF5" s="1">
        <v>0</v>
      </c>
      <c r="AG5" s="1" t="s">
        <v>36</v>
      </c>
    </row>
  </sheetData>
  <pageMargins left="0.69999998807907104" right="0.69999998807907104" top="0.75" bottom="0.75" header="0.30000001192092896" footer="0.30000001192092896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4"/>
  <sheetViews>
    <sheetView zoomScaleSheetLayoutView="100" workbookViewId="0">
      <selection activeCell="H1" sqref="H1"/>
    </sheetView>
  </sheetViews>
  <sheetFormatPr defaultRowHeight="15"/>
  <cols>
    <col min="2" max="2" width="45" customWidth="1"/>
    <col min="3" max="3" width="17.85546875" customWidth="1"/>
    <col min="8" max="8" width="10.5703125" customWidth="1"/>
    <col min="20" max="20" width="22.140625" customWidth="1"/>
    <col min="21" max="21" width="20.140625" customWidth="1"/>
  </cols>
  <sheetData>
    <row r="1" spans="1:25">
      <c r="A1" s="4" t="s">
        <v>18</v>
      </c>
      <c r="B1" s="1" t="s">
        <v>5</v>
      </c>
      <c r="C1" t="s">
        <v>19</v>
      </c>
      <c r="D1" s="1" t="s">
        <v>2</v>
      </c>
      <c r="E1" s="1" t="s">
        <v>0</v>
      </c>
      <c r="F1" s="1" t="s">
        <v>3</v>
      </c>
      <c r="G1" s="1" t="s">
        <v>7</v>
      </c>
      <c r="H1" t="s">
        <v>31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T1" s="6"/>
      <c r="U1" s="1"/>
      <c r="V1" s="1"/>
      <c r="W1" s="1"/>
      <c r="X1" s="1"/>
      <c r="Y1" s="1"/>
    </row>
    <row r="2" spans="1:25">
      <c r="A2" s="4" t="s">
        <v>20</v>
      </c>
      <c r="B2" s="2" t="s">
        <v>21</v>
      </c>
    </row>
    <row r="3" spans="1:25">
      <c r="A3" s="4" t="s">
        <v>22</v>
      </c>
      <c r="B3" s="5">
        <v>41565.672247372684</v>
      </c>
    </row>
    <row r="4" spans="1:25">
      <c r="A4" s="4" t="s">
        <v>23</v>
      </c>
      <c r="B4" s="2" t="s">
        <v>24</v>
      </c>
    </row>
  </sheetData>
  <pageMargins left="0.69999998807907104" right="0.69999998807907104" top="0.75" bottom="0.75" header="0.30000001192092896" footer="0.300000011920928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Open vs Closed</vt:lpstr>
      <vt:lpstr>Data</vt:lpstr>
      <vt:lpstr>Definitions</vt:lpstr>
      <vt:lpstr>DATE</vt:lpstr>
      <vt:lpstr>NAME</vt:lpstr>
      <vt:lpstr>URL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2012-09-20T12:58:46Z</dcterms:created>
  <dcterms:modified xsi:type="dcterms:W3CDTF">2015-05-01T12:17:34Z</dcterms:modified>
</cp:coreProperties>
</file>